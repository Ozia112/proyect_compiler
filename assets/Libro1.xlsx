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dy-my.sharepoint.com/personal/a24216345_alumnos_uady_mx/Documents/Verano 2025/Teoria de la computacion/Repositorio/proyect_compiler/"/>
    </mc:Choice>
  </mc:AlternateContent>
  <xr:revisionPtr revIDLastSave="0" documentId="8_{E3878279-3A40-457D-8D43-3008D1E39D30}" xr6:coauthVersionLast="47" xr6:coauthVersionMax="47" xr10:uidLastSave="{00000000-0000-0000-0000-000000000000}"/>
  <bookViews>
    <workbookView xWindow="-120" yWindow="-120" windowWidth="20730" windowHeight="11310" xr2:uid="{23117FEF-1349-44DE-8F60-224E59DC8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R2" i="1"/>
  <c r="S2" i="1"/>
  <c r="T2" i="1"/>
  <c r="U2" i="1"/>
  <c r="L2" i="1"/>
  <c r="L1" i="1"/>
  <c r="V3" i="1"/>
  <c r="R1" i="1"/>
  <c r="S1" i="1"/>
  <c r="T1" i="1"/>
  <c r="U1" i="1"/>
  <c r="V1" i="1"/>
  <c r="M1" i="1"/>
  <c r="M3" i="1" s="1"/>
  <c r="N1" i="1"/>
  <c r="N3" i="1" s="1"/>
  <c r="O1" i="1"/>
  <c r="O3" i="1" s="1"/>
  <c r="P1" i="1"/>
  <c r="P3" i="1" s="1"/>
  <c r="L3" i="1" l="1"/>
  <c r="U3" i="1"/>
  <c r="T3" i="1"/>
  <c r="S3" i="1"/>
  <c r="R3" i="1"/>
  <c r="E1" i="1"/>
  <c r="Q3" i="1"/>
  <c r="Q2" i="1"/>
  <c r="V2" i="1"/>
  <c r="W1" i="1"/>
  <c r="W2" i="1"/>
  <c r="Q1" i="1"/>
  <c r="P2" i="1"/>
</calcChain>
</file>

<file path=xl/sharedStrings.xml><?xml version="1.0" encoding="utf-8"?>
<sst xmlns="http://schemas.openxmlformats.org/spreadsheetml/2006/main" count="23" uniqueCount="23">
  <si>
    <t>𝋠</t>
  </si>
  <si>
    <t>𝋢</t>
  </si>
  <si>
    <t>𝋡</t>
  </si>
  <si>
    <t>𝋣</t>
  </si>
  <si>
    <t>𝋤</t>
  </si>
  <si>
    <t>𝋥</t>
  </si>
  <si>
    <t xml:space="preserve">𝋦 </t>
  </si>
  <si>
    <t>𝋧</t>
  </si>
  <si>
    <t>𝋨</t>
  </si>
  <si>
    <t>𝋩</t>
  </si>
  <si>
    <t>𝋪</t>
  </si>
  <si>
    <t>𝋫</t>
  </si>
  <si>
    <t>𝋬</t>
  </si>
  <si>
    <t>𝋭</t>
  </si>
  <si>
    <t>𝋳</t>
  </si>
  <si>
    <t>𝋯</t>
  </si>
  <si>
    <t>𝋰</t>
  </si>
  <si>
    <t>𝋱</t>
  </si>
  <si>
    <t>𝋲</t>
  </si>
  <si>
    <t>𝋮</t>
  </si>
  <si>
    <t>Numero:</t>
  </si>
  <si>
    <t>Base:</t>
  </si>
  <si>
    <t>Resultado: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</si>
</sst>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Noto Sans Mayan Numerals"/>
      <family val="2"/>
    </font>
    <font>
      <sz val="20"/>
      <name val="Aptos Narrow"/>
      <family val="2"/>
      <scheme val="minor"/>
    </font>
    <font>
      <sz val="20"/>
      <name val="Gf_Noto_Sans_Mayan_Numerals v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0040-2A11-468E-9455-6E29E706CAE8}">
  <dimension ref="A1:W10"/>
  <sheetViews>
    <sheetView tabSelected="1" zoomScale="130" zoomScaleNormal="130" workbookViewId="0">
      <selection activeCell="Q4" sqref="Q4"/>
    </sheetView>
  </sheetViews>
  <sheetFormatPr baseColWidth="10" defaultRowHeight="15"/>
  <cols>
    <col min="1" max="1" width="10" bestFit="1" customWidth="1"/>
    <col min="2" max="2" width="9" bestFit="1" customWidth="1"/>
    <col min="3" max="3" width="5.28515625" bestFit="1" customWidth="1"/>
    <col min="4" max="4" width="11.5703125" bestFit="1" customWidth="1"/>
    <col min="5" max="5" width="22" bestFit="1" customWidth="1"/>
    <col min="6" max="6" width="5.28515625" bestFit="1" customWidth="1"/>
    <col min="7" max="7" width="6.42578125" bestFit="1" customWidth="1"/>
    <col min="8" max="11" width="5.28515625" bestFit="1" customWidth="1"/>
    <col min="12" max="12" width="6.5703125" bestFit="1" customWidth="1"/>
    <col min="13" max="19" width="2.85546875" bestFit="1" customWidth="1"/>
    <col min="20" max="21" width="3" bestFit="1" customWidth="1"/>
    <col min="22" max="22" width="2.85546875" bestFit="1" customWidth="1"/>
    <col min="23" max="23" width="15.7109375" customWidth="1"/>
  </cols>
  <sheetData>
    <row r="1" spans="1:23" ht="16.5">
      <c r="A1" s="1" t="s">
        <v>20</v>
      </c>
      <c r="B1" s="1">
        <v>160000</v>
      </c>
      <c r="C1" s="1"/>
      <c r="D1" s="1" t="s">
        <v>22</v>
      </c>
      <c r="E1" t="str">
        <f ca="1">_xlfn.CONCAT(L3:V3)</f>
        <v>𝋠𝋠𝋠𝋠𝋠𝋠𝋡𝋠𝋠𝋠𝋠</v>
      </c>
      <c r="L1">
        <f>TRUNC(MOD(B1/B2^10,B2))</f>
        <v>0</v>
      </c>
      <c r="M1">
        <f>TRUNC(MOD(B1/B2^9,B2))</f>
        <v>0</v>
      </c>
      <c r="N1">
        <f>TRUNC(MOD(B1/B2^8,B2))</f>
        <v>0</v>
      </c>
      <c r="O1">
        <f>TRUNC(MOD(B1/B2^7,B2))</f>
        <v>0</v>
      </c>
      <c r="P1">
        <f>TRUNC(MOD(B1/B2^6,B2))</f>
        <v>0</v>
      </c>
      <c r="Q1">
        <f ca="1">IF(Q1=0,IF(R1&gt;Q1,Q1="_",TRUNC(MOD(B1/B2^5,B2))))</f>
        <v>0</v>
      </c>
      <c r="R1">
        <f>TRUNC(MOD(B1/B2^4,B2))</f>
        <v>1</v>
      </c>
      <c r="S1">
        <f>TRUNC(MOD(B1/B2^3,B2))</f>
        <v>0</v>
      </c>
      <c r="T1">
        <f>TRUNC(MOD(B1/B2^2,B2))</f>
        <v>0</v>
      </c>
      <c r="U1">
        <f>TRUNC(MOD(B1/B2^1,B2))</f>
        <v>0</v>
      </c>
      <c r="V1">
        <f>TRUNC(MOD(B1/B2^0,B2))</f>
        <v>0</v>
      </c>
      <c r="W1" t="str">
        <f ca="1">_xlfn.CONCAT(L1:V1)</f>
        <v>00000010000</v>
      </c>
    </row>
    <row r="2" spans="1:23" ht="16.5">
      <c r="A2" s="1" t="s">
        <v>21</v>
      </c>
      <c r="B2" s="1">
        <v>20</v>
      </c>
      <c r="C2" s="1"/>
      <c r="D2" s="1"/>
      <c r="E2" s="1"/>
      <c r="L2" t="str">
        <f>IF(AND(L1=0,L1&lt;=M1),"",L1)</f>
        <v/>
      </c>
      <c r="M2" t="str">
        <f>IF(AND(M1=0,M1&lt;=N1),"",M1)</f>
        <v/>
      </c>
      <c r="N2" t="str">
        <f t="shared" ref="N2:V2" si="0">IF(AND(N1=0,N1&lt;=O1),"",N1)</f>
        <v/>
      </c>
      <c r="O2" t="str">
        <f t="shared" si="0"/>
        <v/>
      </c>
      <c r="P2" t="str">
        <f t="shared" ca="1" si="0"/>
        <v/>
      </c>
      <c r="Q2" t="str">
        <f t="shared" ca="1" si="0"/>
        <v/>
      </c>
      <c r="R2">
        <f t="shared" si="0"/>
        <v>1</v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ca="1" si="0"/>
        <v/>
      </c>
      <c r="W2" t="str">
        <f ca="1">W1</f>
        <v>00000010000</v>
      </c>
    </row>
    <row r="3" spans="1:23" ht="16.5">
      <c r="A3" s="1"/>
      <c r="B3" s="1"/>
      <c r="C3" s="1"/>
      <c r="D3" s="1"/>
      <c r="E3" s="1"/>
      <c r="L3" t="str">
        <f>CHOOSE(L1+1,"𝋠","𝋡","𝋢","𝋣","𝋤","𝋥","𝋦","𝋧","𝋨","𝋩","𝋪","𝋫","𝋬","𝋭","𝋮","𝋯","𝋰","𝋱","𝋲","𝋳")</f>
        <v>𝋠</v>
      </c>
      <c r="M3" t="str">
        <f>CHOOSE(M1+1,"𝋠","𝋡","𝋢","𝋣","𝋤","𝋥","𝋦","𝋧","𝋨","𝋩","𝋪","𝋫","𝋬","𝋭","𝋮","𝋯","𝋰","𝋱","𝋲","𝋳")</f>
        <v>𝋠</v>
      </c>
      <c r="N3" t="str">
        <f>CHOOSE(N1+1,"𝋠","𝋡","𝋢","𝋣","𝋤","𝋥","𝋦","𝋧","𝋨","𝋩","𝋪","𝋫","𝋬","𝋭","𝋮","𝋯","𝋰","𝋱","𝋲","𝋳")</f>
        <v>𝋠</v>
      </c>
      <c r="O3" t="str">
        <f>CHOOSE(O1+1,"𝋠","𝋡","𝋢","𝋣","𝋤","𝋥","𝋦","𝋧","𝋨","𝋩","𝋪","𝋫","𝋬","𝋭","𝋮","𝋯","𝋰","𝋱","𝋲","𝋳")</f>
        <v>𝋠</v>
      </c>
      <c r="P3" t="str">
        <f>CHOOSE(P1+1,"𝋠","𝋡","𝋢","𝋣","𝋤","𝋥","𝋦","𝋧","𝋨","𝋩","𝋪","𝋫","𝋬","𝋭","𝋮","𝋯","𝋰","𝋱","𝋲","𝋳")</f>
        <v>𝋠</v>
      </c>
      <c r="Q3">
        <f ca="1">CHOOSE(Q2+1,"𝋠","𝋡","𝋢","𝋣","𝋤","𝋥","𝋦","𝋧","𝋨","𝋩","𝋪","𝋫","𝋬","𝋭","𝋮","𝋯","𝋰","𝋱","𝋲","𝋳","")</f>
        <v>0</v>
      </c>
      <c r="R3" t="str">
        <f>CHOOSE(R1+1,"𝋠","𝋡","𝋢","𝋣","𝋤","𝋥","𝋦","𝋧","𝋨","𝋩","𝋪","𝋫","𝋬","𝋭","𝋮","𝋯","𝋰","𝋱","𝋲","𝋳")</f>
        <v>𝋡</v>
      </c>
      <c r="S3" t="str">
        <f>CHOOSE(S1+1,"𝋠","𝋡","𝋢","𝋣","𝋤","𝋥","𝋦","𝋧","𝋨","𝋩","𝋪","𝋫","𝋬","𝋭","𝋮","𝋯","𝋰","𝋱","𝋲","𝋳")</f>
        <v>𝋠</v>
      </c>
      <c r="T3" t="str">
        <f>CHOOSE(T1+1,"𝋠","𝋡","𝋢","𝋣","𝋤","𝋥","𝋦","𝋧","𝋨","𝋩","𝋪","𝋫","𝋬","𝋭","𝋮","𝋯","𝋰","𝋱","𝋲","𝋳")</f>
        <v>𝋠</v>
      </c>
      <c r="U3" t="str">
        <f>CHOOSE(U1+1,"𝋠","𝋡","𝋢","𝋣","𝋤","𝋥","𝋦","𝋧","𝋨","𝋩","𝋪","𝋫","𝋬","𝋭","𝋮","𝋯","𝋰","𝋱","𝋲","𝋳")</f>
        <v>𝋠</v>
      </c>
      <c r="V3" t="str">
        <f>CHOOSE(V1+1,"𝋠","𝋡","𝋢","𝋣","𝋤","𝋥","𝋦","𝋧","𝋨","𝋩","𝋪","𝋫","𝋬","𝋭","𝋮","𝋯","𝋰","𝋱","𝋲","𝋳")</f>
        <v>𝋠</v>
      </c>
    </row>
    <row r="4" spans="1:23" ht="26.25">
      <c r="A4" s="2" t="s">
        <v>0</v>
      </c>
      <c r="B4" s="3" t="s">
        <v>2</v>
      </c>
      <c r="C4" s="3" t="s">
        <v>1</v>
      </c>
      <c r="D4" s="3" t="s">
        <v>3</v>
      </c>
      <c r="E4" s="3" t="s">
        <v>4</v>
      </c>
      <c r="F4" s="3" t="s">
        <v>5</v>
      </c>
      <c r="G4" s="3" t="s">
        <v>6</v>
      </c>
      <c r="H4" s="2" t="s">
        <v>7</v>
      </c>
      <c r="I4" s="3" t="s">
        <v>8</v>
      </c>
      <c r="J4" s="3" t="s">
        <v>9</v>
      </c>
    </row>
    <row r="5" spans="1:23" ht="26.25">
      <c r="A5" s="3" t="s">
        <v>10</v>
      </c>
      <c r="B5" s="2" t="s">
        <v>11</v>
      </c>
      <c r="C5" s="2" t="s">
        <v>12</v>
      </c>
      <c r="D5" s="2" t="s">
        <v>13</v>
      </c>
      <c r="E5" s="3" t="s">
        <v>19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14</v>
      </c>
      <c r="K5" s="3"/>
    </row>
    <row r="6" spans="1:23" ht="16.5">
      <c r="A6" s="1"/>
      <c r="B6" s="1"/>
      <c r="C6" s="1"/>
      <c r="D6" s="1"/>
      <c r="E6" s="1"/>
    </row>
    <row r="7" spans="1:23" ht="16.5">
      <c r="A7" s="1"/>
      <c r="B7" s="1"/>
      <c r="C7" s="1"/>
      <c r="D7" s="1"/>
      <c r="E7" s="1"/>
    </row>
    <row r="8" spans="1:23" ht="16.5">
      <c r="A8" s="1"/>
      <c r="B8" s="1"/>
      <c r="C8" s="1"/>
      <c r="D8" s="1"/>
      <c r="E8" s="1"/>
    </row>
    <row r="9" spans="1:23" ht="16.5">
      <c r="A9" s="1"/>
      <c r="B9" s="1"/>
      <c r="C9" s="1"/>
      <c r="D9" s="1"/>
      <c r="E9" s="1"/>
    </row>
    <row r="10" spans="1:23" ht="16.5">
      <c r="A10" s="1"/>
      <c r="B10" s="1"/>
      <c r="C10" s="1"/>
      <c r="D10" s="1"/>
      <c r="E1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Alejandro Ortiz Zaldivar</dc:creator>
  <cp:lastModifiedBy>Isaac Alejandro Ortiz Zaldivar</cp:lastModifiedBy>
  <dcterms:created xsi:type="dcterms:W3CDTF">2025-06-30T21:56:37Z</dcterms:created>
  <dcterms:modified xsi:type="dcterms:W3CDTF">2025-06-30T22:45:12Z</dcterms:modified>
</cp:coreProperties>
</file>